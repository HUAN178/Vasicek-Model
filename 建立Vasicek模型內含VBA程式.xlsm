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7055" windowHeight="8835"/>
  </bookViews>
  <sheets>
    <sheet name="Sheet1" sheetId="1" r:id="rId1"/>
  </sheets>
  <functionGroups/>
  <definedNames>
    <definedName name="solver_adj" localSheetId="0" hidden="1">Sheet1!#REF!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Sheet1!#REF!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0.85813</definedName>
  </definedNames>
  <calcPr calcId="125725"/>
</workbook>
</file>

<file path=xl/calcChain.xml><?xml version="1.0" encoding="utf-8"?>
<calcChain xmlns="http://schemas.openxmlformats.org/spreadsheetml/2006/main">
  <c r="C17" i="1"/>
  <c r="C19" s="1"/>
  <c r="C21" s="1"/>
  <c r="D24" a="1"/>
  <c r="J3" a="1"/>
  <c r="D3" a="1"/>
  <c r="D10" a="1"/>
  <c r="D10" l="1"/>
  <c r="F10"/>
  <c r="H10"/>
  <c r="E11"/>
  <c r="G11"/>
  <c r="D12"/>
  <c r="F12"/>
  <c r="H12"/>
  <c r="E13"/>
  <c r="G13"/>
  <c r="D14"/>
  <c r="F14"/>
  <c r="H14"/>
  <c r="E10"/>
  <c r="G10"/>
  <c r="D11"/>
  <c r="F11"/>
  <c r="H11"/>
  <c r="E12"/>
  <c r="G12"/>
  <c r="D13"/>
  <c r="F13"/>
  <c r="H13"/>
  <c r="E14"/>
  <c r="G14"/>
  <c r="N5"/>
  <c r="K3"/>
  <c r="M3"/>
  <c r="J4"/>
  <c r="L4"/>
  <c r="N4"/>
  <c r="K5"/>
  <c r="M5"/>
  <c r="J6"/>
  <c r="L6"/>
  <c r="N6"/>
  <c r="K7"/>
  <c r="M7"/>
  <c r="J3"/>
  <c r="L3"/>
  <c r="N3"/>
  <c r="K4"/>
  <c r="M4"/>
  <c r="J5"/>
  <c r="L5"/>
  <c r="K6"/>
  <c r="M6"/>
  <c r="J7"/>
  <c r="L7"/>
  <c r="N7"/>
  <c r="D3"/>
  <c r="E3"/>
  <c r="G3"/>
  <c r="D4"/>
  <c r="F4"/>
  <c r="H4"/>
  <c r="E5"/>
  <c r="G5"/>
  <c r="D6"/>
  <c r="F6"/>
  <c r="H6"/>
  <c r="E7"/>
  <c r="G7"/>
  <c r="F3"/>
  <c r="H3"/>
  <c r="E4"/>
  <c r="G4"/>
  <c r="D5"/>
  <c r="F5"/>
  <c r="H5"/>
  <c r="E6"/>
  <c r="G6"/>
  <c r="D7"/>
  <c r="F7"/>
  <c r="H7"/>
  <c r="D24"/>
  <c r="F24"/>
  <c r="H24"/>
  <c r="J24"/>
  <c r="L24"/>
  <c r="N24"/>
  <c r="P24"/>
  <c r="R24"/>
  <c r="T24"/>
  <c r="V24"/>
  <c r="X24"/>
  <c r="E25"/>
  <c r="G25"/>
  <c r="I25"/>
  <c r="K25"/>
  <c r="M25"/>
  <c r="O25"/>
  <c r="Q25"/>
  <c r="S25"/>
  <c r="U25"/>
  <c r="W25"/>
  <c r="D26"/>
  <c r="F26"/>
  <c r="H26"/>
  <c r="J26"/>
  <c r="L26"/>
  <c r="N26"/>
  <c r="P26"/>
  <c r="R26"/>
  <c r="T26"/>
  <c r="V26"/>
  <c r="X26"/>
  <c r="E27"/>
  <c r="I27"/>
  <c r="K27"/>
  <c r="M27"/>
  <c r="O27"/>
  <c r="Q27"/>
  <c r="W27"/>
  <c r="H28"/>
  <c r="N28"/>
  <c r="R28"/>
  <c r="V28"/>
  <c r="G29"/>
  <c r="K29"/>
  <c r="O29"/>
  <c r="S29"/>
  <c r="W29"/>
  <c r="F30"/>
  <c r="N30"/>
  <c r="X30"/>
  <c r="K31"/>
  <c r="E24"/>
  <c r="G24"/>
  <c r="I24"/>
  <c r="K24"/>
  <c r="M24"/>
  <c r="O24"/>
  <c r="Q24"/>
  <c r="S24"/>
  <c r="U24"/>
  <c r="W24"/>
  <c r="D25"/>
  <c r="F25"/>
  <c r="H25"/>
  <c r="J25"/>
  <c r="L25"/>
  <c r="N25"/>
  <c r="P25"/>
  <c r="R25"/>
  <c r="T25"/>
  <c r="V25"/>
  <c r="X25"/>
  <c r="E26"/>
  <c r="G26"/>
  <c r="I26"/>
  <c r="K26"/>
  <c r="M26"/>
  <c r="O26"/>
  <c r="Q26"/>
  <c r="S26"/>
  <c r="U26"/>
  <c r="W26"/>
  <c r="D27"/>
  <c r="F27"/>
  <c r="H27"/>
  <c r="J27"/>
  <c r="L27"/>
  <c r="N27"/>
  <c r="P27"/>
  <c r="R27"/>
  <c r="T27"/>
  <c r="V27"/>
  <c r="X27"/>
  <c r="E28"/>
  <c r="G28"/>
  <c r="I28"/>
  <c r="K28"/>
  <c r="M28"/>
  <c r="O28"/>
  <c r="Q28"/>
  <c r="S28"/>
  <c r="U28"/>
  <c r="W28"/>
  <c r="D29"/>
  <c r="F29"/>
  <c r="H29"/>
  <c r="J29"/>
  <c r="L29"/>
  <c r="N29"/>
  <c r="P29"/>
  <c r="R29"/>
  <c r="T29"/>
  <c r="V29"/>
  <c r="X29"/>
  <c r="E30"/>
  <c r="G30"/>
  <c r="I30"/>
  <c r="K30"/>
  <c r="M30"/>
  <c r="O30"/>
  <c r="Q30"/>
  <c r="S30"/>
  <c r="U30"/>
  <c r="W30"/>
  <c r="D31"/>
  <c r="F31"/>
  <c r="H31"/>
  <c r="J31"/>
  <c r="L31"/>
  <c r="N31"/>
  <c r="P31"/>
  <c r="R31"/>
  <c r="T31"/>
  <c r="V31"/>
  <c r="X31"/>
  <c r="E32"/>
  <c r="G32"/>
  <c r="I32"/>
  <c r="K32"/>
  <c r="M32"/>
  <c r="O32"/>
  <c r="Q32"/>
  <c r="S32"/>
  <c r="U32"/>
  <c r="W32"/>
  <c r="D33"/>
  <c r="F33"/>
  <c r="H33"/>
  <c r="J33"/>
  <c r="L33"/>
  <c r="N33"/>
  <c r="P33"/>
  <c r="R33"/>
  <c r="T33"/>
  <c r="V33"/>
  <c r="X33"/>
  <c r="E34"/>
  <c r="G34"/>
  <c r="I34"/>
  <c r="K34"/>
  <c r="M34"/>
  <c r="O34"/>
  <c r="Q34"/>
  <c r="S34"/>
  <c r="U34"/>
  <c r="W34"/>
  <c r="D35"/>
  <c r="F35"/>
  <c r="H35"/>
  <c r="J35"/>
  <c r="L35"/>
  <c r="N35"/>
  <c r="P35"/>
  <c r="R35"/>
  <c r="T35"/>
  <c r="V35"/>
  <c r="X35"/>
  <c r="E36"/>
  <c r="G36"/>
  <c r="I36"/>
  <c r="K36"/>
  <c r="M36"/>
  <c r="O36"/>
  <c r="Q36"/>
  <c r="S36"/>
  <c r="U36"/>
  <c r="W36"/>
  <c r="D37"/>
  <c r="F37"/>
  <c r="H37"/>
  <c r="J37"/>
  <c r="L37"/>
  <c r="N37"/>
  <c r="P37"/>
  <c r="R37"/>
  <c r="T37"/>
  <c r="V37"/>
  <c r="X37"/>
  <c r="E38"/>
  <c r="G38"/>
  <c r="I38"/>
  <c r="K38"/>
  <c r="M38"/>
  <c r="O38"/>
  <c r="Q38"/>
  <c r="S38"/>
  <c r="U38"/>
  <c r="W38"/>
  <c r="D39"/>
  <c r="F39"/>
  <c r="H39"/>
  <c r="J39"/>
  <c r="L39"/>
  <c r="N39"/>
  <c r="P39"/>
  <c r="R39"/>
  <c r="T39"/>
  <c r="V39"/>
  <c r="X39"/>
  <c r="E40"/>
  <c r="G40"/>
  <c r="I40"/>
  <c r="K40"/>
  <c r="M40"/>
  <c r="O40"/>
  <c r="Q40"/>
  <c r="S40"/>
  <c r="U40"/>
  <c r="W40"/>
  <c r="D41"/>
  <c r="F41"/>
  <c r="H41"/>
  <c r="J41"/>
  <c r="L41"/>
  <c r="N41"/>
  <c r="P41"/>
  <c r="R41"/>
  <c r="T41"/>
  <c r="V41"/>
  <c r="X41"/>
  <c r="E42"/>
  <c r="G42"/>
  <c r="I42"/>
  <c r="K42"/>
  <c r="M42"/>
  <c r="O42"/>
  <c r="Q42"/>
  <c r="S42"/>
  <c r="U42"/>
  <c r="W42"/>
  <c r="D43"/>
  <c r="F43"/>
  <c r="H43"/>
  <c r="J43"/>
  <c r="L43"/>
  <c r="N43"/>
  <c r="P43"/>
  <c r="R43"/>
  <c r="T43"/>
  <c r="V43"/>
  <c r="X43"/>
  <c r="E44"/>
  <c r="G44"/>
  <c r="I44"/>
  <c r="K44"/>
  <c r="M44"/>
  <c r="O44"/>
  <c r="Q44"/>
  <c r="S44"/>
  <c r="U44"/>
  <c r="W44"/>
  <c r="G27"/>
  <c r="S27"/>
  <c r="U27"/>
  <c r="D28"/>
  <c r="F28"/>
  <c r="J28"/>
  <c r="L28"/>
  <c r="P28"/>
  <c r="T28"/>
  <c r="X28"/>
  <c r="E29"/>
  <c r="I29"/>
  <c r="M29"/>
  <c r="Q29"/>
  <c r="U29"/>
  <c r="D30"/>
  <c r="H30"/>
  <c r="J30"/>
  <c r="L30"/>
  <c r="P30"/>
  <c r="R30"/>
  <c r="T30"/>
  <c r="V30"/>
  <c r="E31"/>
  <c r="G31"/>
  <c r="I31"/>
  <c r="M31"/>
  <c r="O31"/>
  <c r="Q31"/>
  <c r="S31"/>
  <c r="W31"/>
  <c r="D32"/>
  <c r="F32"/>
  <c r="H32"/>
  <c r="J32"/>
  <c r="L32"/>
  <c r="E33"/>
  <c r="F40"/>
  <c r="U31"/>
  <c r="P32"/>
  <c r="T32"/>
  <c r="X32"/>
  <c r="G33"/>
  <c r="K33"/>
  <c r="O33"/>
  <c r="S33"/>
  <c r="W33"/>
  <c r="F34"/>
  <c r="J34"/>
  <c r="N34"/>
  <c r="R34"/>
  <c r="V34"/>
  <c r="E35"/>
  <c r="I35"/>
  <c r="M35"/>
  <c r="Q35"/>
  <c r="U35"/>
  <c r="D36"/>
  <c r="H36"/>
  <c r="L36"/>
  <c r="P36"/>
  <c r="T36"/>
  <c r="X36"/>
  <c r="G37"/>
  <c r="K37"/>
  <c r="O37"/>
  <c r="S37"/>
  <c r="W37"/>
  <c r="F38"/>
  <c r="J38"/>
  <c r="N38"/>
  <c r="R38"/>
  <c r="V38"/>
  <c r="E39"/>
  <c r="I39"/>
  <c r="M39"/>
  <c r="Q39"/>
  <c r="U39"/>
  <c r="D40"/>
  <c r="H40"/>
  <c r="L40"/>
  <c r="P40"/>
  <c r="T40"/>
  <c r="X40"/>
  <c r="G41"/>
  <c r="K41"/>
  <c r="O41"/>
  <c r="S41"/>
  <c r="W41"/>
  <c r="F42"/>
  <c r="J42"/>
  <c r="N42"/>
  <c r="R42"/>
  <c r="V42"/>
  <c r="E43"/>
  <c r="I43"/>
  <c r="M43"/>
  <c r="Q43"/>
  <c r="U43"/>
  <c r="D44"/>
  <c r="H44"/>
  <c r="L44"/>
  <c r="P44"/>
  <c r="T44"/>
  <c r="X44"/>
  <c r="N32"/>
  <c r="R32"/>
  <c r="V32"/>
  <c r="I33"/>
  <c r="M33"/>
  <c r="Q33"/>
  <c r="U33"/>
  <c r="D34"/>
  <c r="H34"/>
  <c r="L34"/>
  <c r="P34"/>
  <c r="T34"/>
  <c r="X34"/>
  <c r="G35"/>
  <c r="K35"/>
  <c r="O35"/>
  <c r="S35"/>
  <c r="W35"/>
  <c r="F36"/>
  <c r="J36"/>
  <c r="N36"/>
  <c r="R36"/>
  <c r="V36"/>
  <c r="E37"/>
  <c r="I37"/>
  <c r="M37"/>
  <c r="Q37"/>
  <c r="U37"/>
  <c r="D38"/>
  <c r="H38"/>
  <c r="L38"/>
  <c r="P38"/>
  <c r="T38"/>
  <c r="X38"/>
  <c r="G39"/>
  <c r="K39"/>
  <c r="O39"/>
  <c r="S39"/>
  <c r="W39"/>
  <c r="J40"/>
  <c r="N40"/>
  <c r="R40"/>
  <c r="V40"/>
  <c r="E41"/>
  <c r="I41"/>
  <c r="M41"/>
  <c r="Q41"/>
  <c r="U41"/>
  <c r="D42"/>
  <c r="H42"/>
  <c r="L42"/>
  <c r="P42"/>
  <c r="T42"/>
  <c r="X42"/>
  <c r="G43"/>
  <c r="K43"/>
  <c r="O43"/>
  <c r="S43"/>
  <c r="W43"/>
  <c r="F44"/>
  <c r="J44"/>
  <c r="N44"/>
  <c r="R44"/>
  <c r="V44"/>
</calcChain>
</file>

<file path=xl/sharedStrings.xml><?xml version="1.0" encoding="utf-8"?>
<sst xmlns="http://schemas.openxmlformats.org/spreadsheetml/2006/main" count="15" uniqueCount="14">
  <si>
    <t>第一題</t>
    <phoneticPr fontId="1" type="noConversion"/>
  </si>
  <si>
    <t>第二題</t>
    <phoneticPr fontId="1" type="noConversion"/>
  </si>
  <si>
    <t>dt =</t>
    <phoneticPr fontId="1" type="noConversion"/>
  </si>
  <si>
    <t>B( t , T) =</t>
    <phoneticPr fontId="1" type="noConversion"/>
  </si>
  <si>
    <t>A( t , T) =</t>
    <phoneticPr fontId="1" type="noConversion"/>
  </si>
  <si>
    <t>P( t , T) =</t>
    <phoneticPr fontId="1" type="noConversion"/>
  </si>
  <si>
    <t>a=</t>
    <phoneticPr fontId="1" type="noConversion"/>
  </si>
  <si>
    <t>b=</t>
    <phoneticPr fontId="1" type="noConversion"/>
  </si>
  <si>
    <t>σ=</t>
    <phoneticPr fontId="1" type="noConversion"/>
  </si>
  <si>
    <t>r=</t>
    <phoneticPr fontId="1" type="noConversion"/>
  </si>
  <si>
    <t>第三題</t>
    <phoneticPr fontId="1" type="noConversion"/>
  </si>
  <si>
    <t>切割二十期</t>
    <phoneticPr fontId="1" type="noConversion"/>
  </si>
  <si>
    <t>無窮切割</t>
    <phoneticPr fontId="1" type="noConversion"/>
  </si>
  <si>
    <t>切割四期</t>
    <phoneticPr fontId="1" type="noConversion"/>
  </si>
</sst>
</file>

<file path=xl/styles.xml><?xml version="1.0" encoding="utf-8"?>
<styleSheet xmlns="http://schemas.openxmlformats.org/spreadsheetml/2006/main">
  <numFmts count="3">
    <numFmt numFmtId="176" formatCode="0.0000%"/>
    <numFmt numFmtId="177" formatCode="0.000%"/>
    <numFmt numFmtId="180" formatCode="0.000000_ "/>
  </numFmts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176" fontId="0" fillId="2" borderId="1" xfId="0" applyNumberFormat="1" applyFill="1" applyBorder="1">
      <alignment vertical="center"/>
    </xf>
    <xf numFmtId="176" fontId="0" fillId="0" borderId="1" xfId="0" applyNumberFormat="1" applyBorder="1">
      <alignment vertical="center"/>
    </xf>
    <xf numFmtId="176" fontId="0" fillId="0" borderId="1" xfId="0" applyNumberFormat="1" applyFill="1" applyBorder="1">
      <alignment vertical="center"/>
    </xf>
    <xf numFmtId="180" fontId="0" fillId="2" borderId="1" xfId="0" applyNumberFormat="1" applyFill="1" applyBorder="1">
      <alignment vertical="center"/>
    </xf>
    <xf numFmtId="180" fontId="0" fillId="0" borderId="1" xfId="0" applyNumberFormat="1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44"/>
  <sheetViews>
    <sheetView tabSelected="1" topLeftCell="A10" workbookViewId="0">
      <selection activeCell="E20" sqref="E20"/>
    </sheetView>
  </sheetViews>
  <sheetFormatPr defaultRowHeight="16.5"/>
  <cols>
    <col min="4" max="7" width="10.75" bestFit="1" customWidth="1"/>
    <col min="8" max="8" width="11.625" bestFit="1" customWidth="1"/>
    <col min="9" max="9" width="9.625" bestFit="1" customWidth="1"/>
    <col min="10" max="10" width="9.75" bestFit="1" customWidth="1"/>
    <col min="11" max="11" width="9.625" bestFit="1" customWidth="1"/>
  </cols>
  <sheetData>
    <row r="1" spans="1:14">
      <c r="A1" s="2" t="s">
        <v>0</v>
      </c>
    </row>
    <row r="2" spans="1:14">
      <c r="D2" s="4">
        <v>0</v>
      </c>
      <c r="E2" s="4">
        <v>0.5</v>
      </c>
      <c r="F2" s="4">
        <v>1</v>
      </c>
      <c r="G2" s="4">
        <v>1.5</v>
      </c>
      <c r="H2" s="4">
        <v>2</v>
      </c>
      <c r="J2" s="4">
        <v>0</v>
      </c>
      <c r="K2" s="4">
        <v>0.5</v>
      </c>
      <c r="L2" s="4">
        <v>1</v>
      </c>
      <c r="M2" s="4">
        <v>1.5</v>
      </c>
      <c r="N2" s="4">
        <v>2</v>
      </c>
    </row>
    <row r="3" spans="1:14">
      <c r="B3" t="s">
        <v>2</v>
      </c>
      <c r="C3">
        <v>0.5</v>
      </c>
      <c r="D3" s="7">
        <f t="array" ref="D3:H7">Vasicek_proabtree(4,C3)</f>
        <v>0.71213203435596428</v>
      </c>
      <c r="E3" s="7">
        <v>0.66213203435596424</v>
      </c>
      <c r="F3" s="7">
        <v>0.61213203435596419</v>
      </c>
      <c r="G3" s="7">
        <v>0.56213203435596415</v>
      </c>
      <c r="H3" s="7">
        <v>0.51213203435596422</v>
      </c>
      <c r="J3" s="7">
        <f t="array" ref="J3:N7">Vasicek_ratetree(4, 0.5)</f>
        <v>0.03</v>
      </c>
      <c r="K3" s="7">
        <v>3.3535533905932738E-2</v>
      </c>
      <c r="L3" s="7">
        <v>3.7071067811865477E-2</v>
      </c>
      <c r="M3" s="7">
        <v>4.0606601717798216E-2</v>
      </c>
      <c r="N3" s="7">
        <v>4.4142135623730955E-2</v>
      </c>
    </row>
    <row r="4" spans="1:14">
      <c r="B4" t="s">
        <v>6</v>
      </c>
      <c r="C4">
        <v>0.2</v>
      </c>
      <c r="D4" s="8">
        <v>0</v>
      </c>
      <c r="E4" s="7">
        <v>0.76213203435596422</v>
      </c>
      <c r="F4" s="7">
        <v>0.71213203435596428</v>
      </c>
      <c r="G4" s="7">
        <v>0.66213203435596424</v>
      </c>
      <c r="H4" s="7">
        <v>0.61213203435596419</v>
      </c>
      <c r="J4" s="8">
        <v>0</v>
      </c>
      <c r="K4" s="7">
        <v>2.646446609406726E-2</v>
      </c>
      <c r="L4" s="7">
        <v>0.03</v>
      </c>
      <c r="M4" s="7">
        <v>3.3535533905932738E-2</v>
      </c>
      <c r="N4" s="7">
        <v>3.7071067811865477E-2</v>
      </c>
    </row>
    <row r="5" spans="1:14">
      <c r="B5" t="s">
        <v>7</v>
      </c>
      <c r="C5" s="3">
        <v>4.4999999999999998E-2</v>
      </c>
      <c r="D5" s="8">
        <v>0</v>
      </c>
      <c r="E5" s="8">
        <v>0</v>
      </c>
      <c r="F5" s="7">
        <v>0.81213203435596415</v>
      </c>
      <c r="G5" s="7">
        <v>0.76213203435596422</v>
      </c>
      <c r="H5" s="7">
        <v>0.71213203435596428</v>
      </c>
      <c r="J5" s="8">
        <v>0</v>
      </c>
      <c r="K5" s="8">
        <v>0</v>
      </c>
      <c r="L5" s="7">
        <v>2.2928932188134521E-2</v>
      </c>
      <c r="M5" s="7">
        <v>2.646446609406726E-2</v>
      </c>
      <c r="N5" s="7">
        <v>0.03</v>
      </c>
    </row>
    <row r="6" spans="1:14">
      <c r="B6" t="s">
        <v>8</v>
      </c>
      <c r="C6" s="3">
        <v>5.0000000000000001E-3</v>
      </c>
      <c r="D6" s="8">
        <v>0</v>
      </c>
      <c r="E6" s="8">
        <v>0</v>
      </c>
      <c r="F6" s="8">
        <v>0</v>
      </c>
      <c r="G6" s="7">
        <v>0.86213203435596419</v>
      </c>
      <c r="H6" s="7">
        <v>0.81213203435596415</v>
      </c>
      <c r="J6" s="8">
        <v>0</v>
      </c>
      <c r="K6" s="8">
        <v>0</v>
      </c>
      <c r="L6" s="9">
        <v>0</v>
      </c>
      <c r="M6" s="7">
        <v>1.9393398282201785E-2</v>
      </c>
      <c r="N6" s="7">
        <v>2.2928932188134524E-2</v>
      </c>
    </row>
    <row r="7" spans="1:14">
      <c r="B7" t="s">
        <v>9</v>
      </c>
      <c r="C7" s="3">
        <v>0.03</v>
      </c>
      <c r="D7" s="8">
        <v>0</v>
      </c>
      <c r="E7" s="8">
        <v>0</v>
      </c>
      <c r="F7" s="8">
        <v>0</v>
      </c>
      <c r="G7" s="8">
        <v>0</v>
      </c>
      <c r="H7" s="7">
        <v>0.91213203435596424</v>
      </c>
      <c r="J7" s="8">
        <v>0</v>
      </c>
      <c r="K7" s="8">
        <v>0</v>
      </c>
      <c r="L7" s="8">
        <v>0</v>
      </c>
      <c r="M7" s="8">
        <v>0</v>
      </c>
      <c r="N7" s="7">
        <v>1.5857864376269046E-2</v>
      </c>
    </row>
    <row r="8" spans="1:14">
      <c r="D8" s="1"/>
      <c r="E8" s="1"/>
      <c r="F8" s="1"/>
      <c r="G8" s="1"/>
      <c r="H8" s="1"/>
    </row>
    <row r="9" spans="1:14">
      <c r="D9" s="4">
        <v>0</v>
      </c>
      <c r="E9" s="4">
        <v>0.5</v>
      </c>
      <c r="F9" s="4">
        <v>1</v>
      </c>
      <c r="G9" s="4">
        <v>1.5</v>
      </c>
      <c r="H9" s="4">
        <v>2</v>
      </c>
    </row>
    <row r="10" spans="1:14">
      <c r="B10" t="s">
        <v>13</v>
      </c>
      <c r="D10" s="10">
        <f t="array" ref="D10:H14">Vasicek_pricetree(4,C3)</f>
        <v>93.782496730241618</v>
      </c>
      <c r="E10" s="10">
        <v>94.936761767846903</v>
      </c>
      <c r="F10" s="10">
        <v>96.322713788046926</v>
      </c>
      <c r="G10" s="10">
        <v>97.990142328762133</v>
      </c>
      <c r="H10" s="10">
        <v>100</v>
      </c>
    </row>
    <row r="11" spans="1:14">
      <c r="D11" s="11">
        <v>0</v>
      </c>
      <c r="E11" s="10">
        <v>95.850638706928109</v>
      </c>
      <c r="F11" s="10">
        <v>96.971921534080749</v>
      </c>
      <c r="G11" s="10">
        <v>98.33720296020617</v>
      </c>
      <c r="H11" s="10">
        <v>100</v>
      </c>
    </row>
    <row r="12" spans="1:14">
      <c r="D12" s="11">
        <v>0</v>
      </c>
      <c r="E12" s="11">
        <v>0</v>
      </c>
      <c r="F12" s="10">
        <v>97.625492669330768</v>
      </c>
      <c r="G12" s="10">
        <v>98.685492807967663</v>
      </c>
      <c r="H12" s="10">
        <v>100</v>
      </c>
    </row>
    <row r="13" spans="1:14">
      <c r="D13" s="11">
        <v>0</v>
      </c>
      <c r="E13" s="11">
        <v>0</v>
      </c>
      <c r="F13" s="11">
        <v>0</v>
      </c>
      <c r="G13" s="10">
        <v>99.035016225674198</v>
      </c>
      <c r="H13" s="10">
        <v>100</v>
      </c>
    </row>
    <row r="14" spans="1:14">
      <c r="D14" s="11">
        <v>0</v>
      </c>
      <c r="E14" s="11">
        <v>0</v>
      </c>
      <c r="F14" s="11">
        <v>0</v>
      </c>
      <c r="G14" s="11">
        <v>0</v>
      </c>
      <c r="H14" s="10">
        <v>100</v>
      </c>
    </row>
    <row r="16" spans="1:14">
      <c r="A16" s="2" t="s">
        <v>1</v>
      </c>
    </row>
    <row r="17" spans="1:24">
      <c r="B17" t="s">
        <v>3</v>
      </c>
      <c r="C17">
        <f>(1-EXP(-C4*2))/C4</f>
        <v>1.6483997698218034</v>
      </c>
    </row>
    <row r="19" spans="1:24">
      <c r="B19" t="s">
        <v>4</v>
      </c>
      <c r="C19">
        <f>EXP((C17-2)*(C4^2*C5-C6^2/2)/C4^2-C6^2*C17^2/(4*C4))</f>
        <v>0.98432707047233037</v>
      </c>
      <c r="E19" t="s">
        <v>12</v>
      </c>
    </row>
    <row r="21" spans="1:24">
      <c r="B21" t="s">
        <v>5</v>
      </c>
      <c r="C21">
        <f>C19*EXP(-C17*C7)*100</f>
        <v>93.683412368944431</v>
      </c>
    </row>
    <row r="23" spans="1:24">
      <c r="A23" s="2" t="s">
        <v>10</v>
      </c>
      <c r="D23" s="4">
        <v>0</v>
      </c>
      <c r="E23" s="4">
        <v>0.1</v>
      </c>
      <c r="F23" s="4">
        <v>0.2</v>
      </c>
      <c r="G23" s="4">
        <v>0.3</v>
      </c>
      <c r="H23" s="4">
        <v>0.4</v>
      </c>
      <c r="I23" s="4">
        <v>0.5</v>
      </c>
      <c r="J23" s="4">
        <v>0.6</v>
      </c>
      <c r="K23" s="4">
        <v>0.7</v>
      </c>
      <c r="L23" s="4">
        <v>0.8</v>
      </c>
      <c r="M23" s="4">
        <v>0.9</v>
      </c>
      <c r="N23" s="4">
        <v>1</v>
      </c>
      <c r="O23" s="4">
        <v>1.1000000000000001</v>
      </c>
      <c r="P23" s="4">
        <v>1.2</v>
      </c>
      <c r="Q23" s="4">
        <v>1.3</v>
      </c>
      <c r="R23" s="4">
        <v>1.4</v>
      </c>
      <c r="S23" s="4">
        <v>1.5</v>
      </c>
      <c r="T23" s="4">
        <v>1.6</v>
      </c>
      <c r="U23" s="4">
        <v>1.7</v>
      </c>
      <c r="V23" s="4">
        <v>1.8</v>
      </c>
      <c r="W23" s="4">
        <v>1.9</v>
      </c>
      <c r="X23" s="4">
        <v>2</v>
      </c>
    </row>
    <row r="24" spans="1:24">
      <c r="B24" t="s">
        <v>2</v>
      </c>
      <c r="C24">
        <v>0.1</v>
      </c>
      <c r="D24" s="6">
        <f t="array" ref="D24:X44">Vasicek_pricetree(20,C24)</f>
        <v>93.702281255409218</v>
      </c>
      <c r="E24" s="6">
        <v>93.791820774707816</v>
      </c>
      <c r="F24" s="6">
        <v>93.900147553213884</v>
      </c>
      <c r="G24" s="6">
        <v>94.027919383958249</v>
      </c>
      <c r="H24" s="6">
        <v>94.175825407675305</v>
      </c>
      <c r="I24" s="6">
        <v>94.34458800974771</v>
      </c>
      <c r="J24" s="6">
        <v>94.534964851467876</v>
      </c>
      <c r="K24" s="6">
        <v>94.747751046332851</v>
      </c>
      <c r="L24" s="6">
        <v>94.983781493045171</v>
      </c>
      <c r="M24" s="6">
        <v>95.243933377941303</v>
      </c>
      <c r="N24" s="6">
        <v>95.529128860724228</v>
      </c>
      <c r="O24" s="6">
        <v>95.840337958647169</v>
      </c>
      <c r="P24" s="6">
        <v>96.178581645694393</v>
      </c>
      <c r="Q24" s="6">
        <v>96.544935184847418</v>
      </c>
      <c r="R24" s="6">
        <v>96.940531713226548</v>
      </c>
      <c r="S24" s="6">
        <v>97.366566101775291</v>
      </c>
      <c r="T24" s="6">
        <v>97.824299113231717</v>
      </c>
      <c r="U24" s="6">
        <v>98.315061884425731</v>
      </c>
      <c r="V24" s="6">
        <v>98.840260761482355</v>
      </c>
      <c r="W24" s="6">
        <v>99.401382519325665</v>
      </c>
      <c r="X24" s="6">
        <v>100</v>
      </c>
    </row>
    <row r="25" spans="1:24">
      <c r="D25" s="5">
        <v>0</v>
      </c>
      <c r="E25" s="6">
        <v>94.265714624126161</v>
      </c>
      <c r="F25" s="6">
        <v>94.353851050299809</v>
      </c>
      <c r="G25" s="6">
        <v>94.461054238671906</v>
      </c>
      <c r="H25" s="6">
        <v>94.587993196686426</v>
      </c>
      <c r="I25" s="6">
        <v>94.735368924667412</v>
      </c>
      <c r="J25" s="6">
        <v>94.903916360327898</v>
      </c>
      <c r="K25" s="6">
        <v>95.094406461515121</v>
      </c>
      <c r="L25" s="6">
        <v>95.307648438263314</v>
      </c>
      <c r="M25" s="6">
        <v>95.544492146217394</v>
      </c>
      <c r="N25" s="6">
        <v>95.805830654579026</v>
      </c>
      <c r="O25" s="6">
        <v>96.092603002925671</v>
      </c>
      <c r="P25" s="6">
        <v>96.405797162571915</v>
      </c>
      <c r="Q25" s="6">
        <v>96.746453219595679</v>
      </c>
      <c r="R25" s="6">
        <v>97.115666798254694</v>
      </c>
      <c r="S25" s="6">
        <v>97.514592745287544</v>
      </c>
      <c r="T25" s="6">
        <v>97.94444909754597</v>
      </c>
      <c r="U25" s="6">
        <v>98.406521357565481</v>
      </c>
      <c r="V25" s="6">
        <v>98.902167104070003</v>
      </c>
      <c r="W25" s="6">
        <v>99.432820967051796</v>
      </c>
      <c r="X25" s="6">
        <v>100</v>
      </c>
    </row>
    <row r="26" spans="1:24">
      <c r="B26" t="s">
        <v>11</v>
      </c>
      <c r="D26" s="5">
        <v>0</v>
      </c>
      <c r="E26" s="5">
        <v>0</v>
      </c>
      <c r="F26" s="6">
        <v>94.809742171789708</v>
      </c>
      <c r="G26" s="6">
        <v>94.896180384042538</v>
      </c>
      <c r="H26" s="6">
        <v>95.001961534250938</v>
      </c>
      <c r="I26" s="6">
        <v>95.127765675872283</v>
      </c>
      <c r="J26" s="6">
        <v>95.274305494724373</v>
      </c>
      <c r="K26" s="6">
        <v>95.442328301066638</v>
      </c>
      <c r="L26" s="6">
        <v>95.632618163863597</v>
      </c>
      <c r="M26" s="6">
        <v>95.845998198661135</v>
      </c>
      <c r="N26" s="6">
        <v>96.083333021534344</v>
      </c>
      <c r="O26" s="6">
        <v>96.345531382694531</v>
      </c>
      <c r="P26" s="6">
        <v>96.633548994585908</v>
      </c>
      <c r="Q26" s="6">
        <v>96.948391570671774</v>
      </c>
      <c r="R26" s="6">
        <v>97.291118092617737</v>
      </c>
      <c r="S26" s="6">
        <v>97.662844325244521</v>
      </c>
      <c r="T26" s="6">
        <v>98.064746600459742</v>
      </c>
      <c r="U26" s="6">
        <v>98.498065893408167</v>
      </c>
      <c r="V26" s="6">
        <v>98.964112216324736</v>
      </c>
      <c r="W26" s="6">
        <v>99.464269358060093</v>
      </c>
      <c r="X26" s="6">
        <v>100</v>
      </c>
    </row>
    <row r="27" spans="1:24">
      <c r="D27" s="5">
        <v>0</v>
      </c>
      <c r="E27" s="5">
        <v>0</v>
      </c>
      <c r="F27" s="5">
        <v>0</v>
      </c>
      <c r="G27" s="6">
        <v>95.333306956302138</v>
      </c>
      <c r="H27" s="6">
        <v>95.417738271078747</v>
      </c>
      <c r="I27" s="6">
        <v>95.521784932774978</v>
      </c>
      <c r="J27" s="6">
        <v>95.646137847105138</v>
      </c>
      <c r="K27" s="6">
        <v>95.791521184479393</v>
      </c>
      <c r="L27" s="6">
        <v>95.958694419573334</v>
      </c>
      <c r="M27" s="6">
        <v>96.148454517045053</v>
      </c>
      <c r="N27" s="6">
        <v>96.361638275194082</v>
      </c>
      <c r="O27" s="6">
        <v>96.599124840420558</v>
      </c>
      <c r="P27" s="6">
        <v>96.861838406513144</v>
      </c>
      <c r="Q27" s="6">
        <v>97.150751114082581</v>
      </c>
      <c r="R27" s="6">
        <v>97.466886166877416</v>
      </c>
      <c r="S27" s="6">
        <v>97.811321183282459</v>
      </c>
      <c r="T27" s="6">
        <v>98.185191803028573</v>
      </c>
      <c r="U27" s="6">
        <v>98.58969557104875</v>
      </c>
      <c r="V27" s="6">
        <v>99.026096122524052</v>
      </c>
      <c r="W27" s="6">
        <v>99.495727695495432</v>
      </c>
      <c r="X27" s="6">
        <v>100</v>
      </c>
    </row>
    <row r="28" spans="1:24">
      <c r="D28" s="5">
        <v>0</v>
      </c>
      <c r="E28" s="5">
        <v>0</v>
      </c>
      <c r="F28" s="5">
        <v>0</v>
      </c>
      <c r="G28" s="5">
        <v>0</v>
      </c>
      <c r="H28" s="6">
        <v>95.835331292043264</v>
      </c>
      <c r="I28" s="6">
        <v>95.917433392265863</v>
      </c>
      <c r="J28" s="6">
        <v>96.019419031636062</v>
      </c>
      <c r="K28" s="6">
        <v>96.141989748069264</v>
      </c>
      <c r="L28" s="6">
        <v>96.285880967851426</v>
      </c>
      <c r="M28" s="6">
        <v>96.451864092514981</v>
      </c>
      <c r="N28" s="6">
        <v>96.640748735840248</v>
      </c>
      <c r="O28" s="6">
        <v>96.853385123142957</v>
      </c>
      <c r="P28" s="6">
        <v>97.090666666110351</v>
      </c>
      <c r="Q28" s="6">
        <v>97.353532727659172</v>
      </c>
      <c r="R28" s="6">
        <v>97.642971592624235</v>
      </c>
      <c r="S28" s="6">
        <v>97.960023661556264</v>
      </c>
      <c r="T28" s="6">
        <v>98.305784886530219</v>
      </c>
      <c r="U28" s="6">
        <v>98.681410469655816</v>
      </c>
      <c r="V28" s="6">
        <v>99.088118846960569</v>
      </c>
      <c r="W28" s="6">
        <v>99.527195982503613</v>
      </c>
      <c r="X28" s="6">
        <v>100</v>
      </c>
    </row>
    <row r="29" spans="1:24"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6">
        <v>96.314717778826179</v>
      </c>
      <c r="J29" s="6">
        <v>96.394154684284985</v>
      </c>
      <c r="K29" s="6">
        <v>96.493738645037055</v>
      </c>
      <c r="L29" s="6">
        <v>96.614181583931511</v>
      </c>
      <c r="M29" s="6">
        <v>96.756229925619664</v>
      </c>
      <c r="N29" s="6">
        <v>96.920666730452339</v>
      </c>
      <c r="O29" s="6">
        <v>97.108313982485171</v>
      </c>
      <c r="P29" s="6">
        <v>97.320035044121283</v>
      </c>
      <c r="Q29" s="6">
        <v>97.556737291060784</v>
      </c>
      <c r="R29" s="6">
        <v>97.819374942479385</v>
      </c>
      <c r="S29" s="6">
        <v>98.108952102740133</v>
      </c>
      <c r="T29" s="6">
        <v>98.426526032464736</v>
      </c>
      <c r="U29" s="6">
        <v>98.773210668471521</v>
      </c>
      <c r="V29" s="6">
        <v>99.150180413942266</v>
      </c>
      <c r="W29" s="6">
        <v>99.558674222231474</v>
      </c>
      <c r="X29" s="6">
        <v>100</v>
      </c>
    </row>
    <row r="30" spans="1:24"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6">
        <v>96.770350462906308</v>
      </c>
      <c r="K30" s="6">
        <v>96.846772545529888</v>
      </c>
      <c r="L30" s="6">
        <v>96.943600055865218</v>
      </c>
      <c r="M30" s="6">
        <v>97.061555026340088</v>
      </c>
      <c r="N30" s="6">
        <v>97.201394592726771</v>
      </c>
      <c r="O30" s="6">
        <v>97.363913174667033</v>
      </c>
      <c r="P30" s="6">
        <v>97.549944814283606</v>
      </c>
      <c r="Q30" s="6">
        <v>97.760365685778524</v>
      </c>
      <c r="R30" s="6">
        <v>97.996096790096701</v>
      </c>
      <c r="S30" s="6">
        <v>98.258106850028582</v>
      </c>
      <c r="T30" s="6">
        <v>98.547415422554906</v>
      </c>
      <c r="U30" s="6">
        <v>98.865096246811575</v>
      </c>
      <c r="V30" s="6">
        <v>99.212280847792215</v>
      </c>
      <c r="W30" s="6">
        <v>99.590162417826846</v>
      </c>
      <c r="X30" s="6">
        <v>100</v>
      </c>
    </row>
    <row r="31" spans="1:24"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6">
        <v>97.201096136702887</v>
      </c>
      <c r="L31" s="6">
        <v>97.27414018456561</v>
      </c>
      <c r="M31" s="6">
        <v>97.367842414119224</v>
      </c>
      <c r="N31" s="6">
        <v>97.482934663096046</v>
      </c>
      <c r="O31" s="6">
        <v>97.620184460516825</v>
      </c>
      <c r="P31" s="6">
        <v>97.780397253336076</v>
      </c>
      <c r="Q31" s="6">
        <v>97.964418795139224</v>
      </c>
      <c r="R31" s="6">
        <v>98.173137710164298</v>
      </c>
      <c r="S31" s="6">
        <v>98.407488247137039</v>
      </c>
      <c r="T31" s="6">
        <v>98.668453238746523</v>
      </c>
      <c r="U31" s="6">
        <v>98.95706728406563</v>
      </c>
      <c r="V31" s="6">
        <v>99.274420172848778</v>
      </c>
      <c r="W31" s="6">
        <v>99.621660572438529</v>
      </c>
      <c r="X31" s="6">
        <v>100</v>
      </c>
    </row>
    <row r="32" spans="1:24"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6">
        <v>97.60580578385084</v>
      </c>
      <c r="M32" s="6">
        <v>97.675095117891601</v>
      </c>
      <c r="N32" s="6">
        <v>97.765289288748164</v>
      </c>
      <c r="O32" s="6">
        <v>97.877129605483177</v>
      </c>
      <c r="P32" s="6">
        <v>98.011393641025634</v>
      </c>
      <c r="Q32" s="6">
        <v>98.168897504309356</v>
      </c>
      <c r="R32" s="6">
        <v>98.350498278406718</v>
      </c>
      <c r="S32" s="6">
        <v>98.557096638302681</v>
      </c>
      <c r="T32" s="6">
        <v>98.78963966320849</v>
      </c>
      <c r="U32" s="6">
        <v>99.049123859696962</v>
      </c>
      <c r="V32" s="6">
        <v>99.33659841346558</v>
      </c>
      <c r="W32" s="6">
        <v>99.653168689216358</v>
      </c>
      <c r="X32" s="6">
        <v>100</v>
      </c>
    </row>
    <row r="33" spans="4:24"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6">
        <v>97.983316176113235</v>
      </c>
      <c r="N33" s="6">
        <v>98.048460823646295</v>
      </c>
      <c r="O33" s="6">
        <v>98.134750379647329</v>
      </c>
      <c r="P33" s="6">
        <v>98.242935260114209</v>
      </c>
      <c r="Q33" s="6">
        <v>98.373802700298612</v>
      </c>
      <c r="R33" s="6">
        <v>98.52817907158655</v>
      </c>
      <c r="S33" s="6">
        <v>98.706932368285322</v>
      </c>
      <c r="T33" s="6">
        <v>98.910974878333292</v>
      </c>
      <c r="U33" s="6">
        <v>99.141266053242774</v>
      </c>
      <c r="V33" s="6">
        <v>99.39881559401141</v>
      </c>
      <c r="W33" s="6">
        <v>99.684686771311149</v>
      </c>
      <c r="X33" s="6">
        <v>100</v>
      </c>
    </row>
    <row r="34" spans="4:24"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6">
        <v>98.332451628548142</v>
      </c>
      <c r="O34" s="6">
        <v>98.393048557735284</v>
      </c>
      <c r="P34" s="6">
        <v>98.475023396386135</v>
      </c>
      <c r="Q34" s="6">
        <v>98.579135271963935</v>
      </c>
      <c r="R34" s="6">
        <v>98.706180667506416</v>
      </c>
      <c r="S34" s="6">
        <v>98.85699578236806</v>
      </c>
      <c r="T34" s="6">
        <v>99.032459066737175</v>
      </c>
      <c r="U34" s="6">
        <v>99.233493944314219</v>
      </c>
      <c r="V34" s="6">
        <v>99.461071738870359</v>
      </c>
      <c r="W34" s="6">
        <v>99.716214821874701</v>
      </c>
      <c r="X34" s="6">
        <v>100</v>
      </c>
    </row>
    <row r="35" spans="4:24"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6">
        <v>98.652025919129855</v>
      </c>
      <c r="P35" s="6">
        <v>98.707659338655105</v>
      </c>
      <c r="Q35" s="6">
        <v>98.784896110013349</v>
      </c>
      <c r="R35" s="6">
        <v>98.884503645010824</v>
      </c>
      <c r="S35" s="6">
        <v>99.007287226358173</v>
      </c>
      <c r="T35" s="6">
        <v>99.154092411260407</v>
      </c>
      <c r="U35" s="6">
        <v>99.325807612596464</v>
      </c>
      <c r="V35" s="6">
        <v>99.523366872441812</v>
      </c>
      <c r="W35" s="6">
        <v>99.747752844059804</v>
      </c>
      <c r="X35" s="6">
        <v>100</v>
      </c>
    </row>
    <row r="36" spans="4:24"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6">
        <v>98.940844378771374</v>
      </c>
      <c r="Q36" s="6">
        <v>98.99108610700975</v>
      </c>
      <c r="R36" s="6">
        <v>99.063148583988095</v>
      </c>
      <c r="S36" s="6">
        <v>99.157807046587862</v>
      </c>
      <c r="T36" s="6">
        <v>99.275875094967589</v>
      </c>
      <c r="U36" s="6">
        <v>99.418207137848725</v>
      </c>
      <c r="V36" s="6">
        <v>99.585701019140387</v>
      </c>
      <c r="W36" s="6">
        <v>99.779300841020273</v>
      </c>
      <c r="X36" s="6">
        <v>100</v>
      </c>
    </row>
    <row r="37" spans="4:24"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6">
        <v>99.197706157374824</v>
      </c>
      <c r="R37" s="6">
        <v>99.242116065372173</v>
      </c>
      <c r="S37" s="6">
        <v>99.308555589915144</v>
      </c>
      <c r="T37" s="6">
        <v>99.397807301147935</v>
      </c>
      <c r="U37" s="6">
        <v>99.510692599904417</v>
      </c>
      <c r="V37" s="6">
        <v>99.64807420339605</v>
      </c>
      <c r="W37" s="6">
        <v>99.810858815910919</v>
      </c>
      <c r="X37" s="6">
        <v>100</v>
      </c>
    </row>
    <row r="38" spans="4:24"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6">
        <v>99.42140667114451</v>
      </c>
      <c r="S38" s="6">
        <v>99.45953320372449</v>
      </c>
      <c r="T38" s="6">
        <v>99.519889213315537</v>
      </c>
      <c r="U38" s="6">
        <v>99.603264078671089</v>
      </c>
      <c r="V38" s="6">
        <v>99.710486449653999</v>
      </c>
      <c r="W38" s="6">
        <v>99.842426771887531</v>
      </c>
      <c r="X38" s="6">
        <v>100</v>
      </c>
    </row>
    <row r="39" spans="4:24"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6">
        <v>99.610740235927722</v>
      </c>
      <c r="T39" s="6">
        <v>99.642121015209597</v>
      </c>
      <c r="U39" s="6">
        <v>99.695921654130643</v>
      </c>
      <c r="V39" s="6">
        <v>99.77293778237474</v>
      </c>
      <c r="W39" s="6">
        <v>99.874004712106895</v>
      </c>
      <c r="X39" s="6">
        <v>100</v>
      </c>
    </row>
    <row r="40" spans="4:24"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6">
        <v>99.764502890794773</v>
      </c>
      <c r="U40" s="6">
        <v>99.788665406339305</v>
      </c>
      <c r="V40" s="6">
        <v>99.835428226034125</v>
      </c>
      <c r="W40" s="6">
        <v>99.905592639726819</v>
      </c>
      <c r="X40" s="6">
        <v>100</v>
      </c>
    </row>
    <row r="41" spans="4:24"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99.881495415427736</v>
      </c>
      <c r="V41" s="6">
        <v>99.897957805123369</v>
      </c>
      <c r="W41" s="6">
        <v>99.937190557906092</v>
      </c>
      <c r="X41" s="6">
        <v>100</v>
      </c>
    </row>
    <row r="42" spans="4:24"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6">
        <v>99.960526544148948</v>
      </c>
      <c r="W42" s="6">
        <v>99.968798469804511</v>
      </c>
      <c r="X42" s="6">
        <v>100</v>
      </c>
    </row>
    <row r="43" spans="4:24"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6">
        <v>100.00041637858286</v>
      </c>
      <c r="X43" s="6">
        <v>100</v>
      </c>
    </row>
    <row r="44" spans="4:24"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6">
        <v>100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Collings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Colling</dc:creator>
  <cp:lastModifiedBy>Huan Jian</cp:lastModifiedBy>
  <cp:lastPrinted>2011-11-03T18:33:11Z</cp:lastPrinted>
  <dcterms:created xsi:type="dcterms:W3CDTF">2011-11-01T11:54:03Z</dcterms:created>
  <dcterms:modified xsi:type="dcterms:W3CDTF">2014-01-22T14:39:03Z</dcterms:modified>
</cp:coreProperties>
</file>